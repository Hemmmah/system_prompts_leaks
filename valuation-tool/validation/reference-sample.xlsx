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ode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99"/>
  <sheetViews>
    <sheetView rightToLeft="1" workbookViewId="0">
      <selection activeCell="A1" sqref="A1"/>
    </sheetView>
  </sheetViews>
  <sheetFormatPr baseColWidth="8" defaultRowHeight="15"/>
  <cols>
    <col width="34" customWidth="1" min="1" max="1"/>
  </cols>
  <sheetData>
    <row r="1">
      <c r="A1" s="1" t="inlineStr">
        <is>
          <t>مقارنات إيجار المعارض</t>
        </is>
      </c>
    </row>
    <row r="2">
      <c r="A2" t="inlineStr">
        <is>
          <t>طريق أنس بن مالك</t>
        </is>
      </c>
      <c r="B2" t="n">
        <v>170000</v>
      </c>
      <c r="C2" t="n">
        <v>1</v>
      </c>
      <c r="D2" t="n">
        <v>1</v>
      </c>
      <c r="E2" t="n">
        <v>160</v>
      </c>
      <c r="F2" t="n">
        <v>-2</v>
      </c>
      <c r="I2">
        <f>IF($D2=1,$B2*$C2/$E2,$B2*$C2)*(1+$F2/100)</f>
        <v/>
      </c>
      <c r="J2">
        <f>IF(AND($B$7&gt;=5,OR($I2&lt;$B$10,$I2&gt;$B$11)),"",$I2)</f>
        <v/>
      </c>
    </row>
    <row r="3">
      <c r="A3" t="inlineStr">
        <is>
          <t>الأمير سلطان</t>
        </is>
      </c>
      <c r="B3" t="n">
        <v>9500</v>
      </c>
      <c r="C3" t="n">
        <v>12</v>
      </c>
      <c r="D3" t="n">
        <v>1</v>
      </c>
      <c r="E3" t="n">
        <v>100</v>
      </c>
      <c r="F3" t="n">
        <v>-3</v>
      </c>
      <c r="I3">
        <f>IF($D3=1,$B3*$C3/$E3,$B3*$C3)*(1+$F3/100)</f>
        <v/>
      </c>
      <c r="J3">
        <f>IF(AND($B$7&gt;=5,OR($I3&lt;$B$10,$I3&gt;$B$11)),"",$I3)</f>
        <v/>
      </c>
    </row>
    <row r="4">
      <c r="A4" t="inlineStr">
        <is>
          <t>الياسمين</t>
        </is>
      </c>
      <c r="B4" t="n">
        <v>180000</v>
      </c>
      <c r="C4" t="n">
        <v>1</v>
      </c>
      <c r="D4" t="n">
        <v>1</v>
      </c>
      <c r="E4" t="n">
        <v>170</v>
      </c>
      <c r="F4" t="n">
        <v>3</v>
      </c>
      <c r="I4">
        <f>IF($D4=1,$B4*$C4/$E4,$B4*$C4)*(1+$F4/100)</f>
        <v/>
      </c>
      <c r="J4">
        <f>IF(AND($B$7&gt;=5,OR($I4&lt;$B$10,$I4&gt;$B$11)),"",$I4)</f>
        <v/>
      </c>
    </row>
    <row r="5">
      <c r="A5" t="inlineStr">
        <is>
          <t>الملك فهد</t>
        </is>
      </c>
      <c r="B5" t="n">
        <v>1150</v>
      </c>
      <c r="C5" t="n">
        <v>1</v>
      </c>
      <c r="D5" t="n">
        <v>0</v>
      </c>
      <c r="F5" t="n">
        <v>-8</v>
      </c>
      <c r="I5">
        <f>IF($D5=1,$B5*$C5/$E5,$B5*$C5)*(1+$F5/100)</f>
        <v/>
      </c>
      <c r="J5">
        <f>IF(AND($B$7&gt;=5,OR($I5&lt;$B$10,$I5&gt;$B$11)),"",$I5)</f>
        <v/>
      </c>
    </row>
    <row r="6">
      <c r="A6" t="inlineStr">
        <is>
          <t>النرجس</t>
        </is>
      </c>
      <c r="B6" t="n">
        <v>310000</v>
      </c>
      <c r="C6" t="n">
        <v>1</v>
      </c>
      <c r="D6" t="n">
        <v>1</v>
      </c>
      <c r="E6" t="n">
        <v>150</v>
      </c>
      <c r="F6" t="n">
        <v>0</v>
      </c>
      <c r="I6">
        <f>IF($D6=1,$B6*$C6/$E6,$B6*$C6)*(1+$F6/100)</f>
        <v/>
      </c>
      <c r="J6">
        <f>IF(AND($B$7&gt;=5,OR($I6&lt;$B$10,$I6&gt;$B$11)),"",$I6)</f>
        <v/>
      </c>
    </row>
    <row r="7">
      <c r="A7" t="inlineStr">
        <is>
          <t>rate_retail_n</t>
        </is>
      </c>
      <c r="B7">
        <f>COUNT($I$2:$I$6)</f>
        <v/>
      </c>
    </row>
    <row r="8">
      <c r="A8" t="inlineStr">
        <is>
          <t>rate_retail_q1</t>
        </is>
      </c>
      <c r="B8">
        <f>_xlfn.QUARTILE.INC($I$2:$I$6,1)</f>
        <v/>
      </c>
    </row>
    <row r="9">
      <c r="A9" t="inlineStr">
        <is>
          <t>rate_retail_q3</t>
        </is>
      </c>
      <c r="B9">
        <f>_xlfn.QUARTILE.INC($I$2:$I$6,3)</f>
        <v/>
      </c>
    </row>
    <row r="10">
      <c r="A10" t="inlineStr">
        <is>
          <t>rate_retail_lo</t>
        </is>
      </c>
      <c r="B10">
        <f>$B$8-1.5*($B$9-$B$8)</f>
        <v/>
      </c>
    </row>
    <row r="11">
      <c r="A11" t="inlineStr">
        <is>
          <t>rate_retail_hi</t>
        </is>
      </c>
      <c r="B11">
        <f>$B$9+1.5*($B$9-$B$8)</f>
        <v/>
      </c>
    </row>
    <row r="12">
      <c r="A12" t="inlineStr">
        <is>
          <t>rate_retail (median after exclusion)</t>
        </is>
      </c>
      <c r="B12">
        <f>MEDIAN($J$2:$J$6)</f>
        <v/>
      </c>
    </row>
    <row r="13">
      <c r="A13" s="1" t="inlineStr">
        <is>
          <t>مقارنات إيجار المكاتب</t>
        </is>
      </c>
    </row>
    <row r="14">
      <c r="A14" t="inlineStr">
        <is>
          <t>برج الملقا</t>
        </is>
      </c>
      <c r="B14" t="n">
        <v>84000</v>
      </c>
      <c r="C14" t="n">
        <v>1</v>
      </c>
      <c r="D14" t="n">
        <v>1</v>
      </c>
      <c r="E14" t="n">
        <v>125</v>
      </c>
      <c r="F14" t="n">
        <v>-3</v>
      </c>
      <c r="I14">
        <f>IF($D14=1,$B14*$C14/$E14,$B14*$C14)*(1+$F14/100)</f>
        <v/>
      </c>
      <c r="J14">
        <f>IF(AND($B$18&gt;=5,OR($I14&lt;$B$21,$I14&gt;$B$22)),"",$I14)</f>
        <v/>
      </c>
    </row>
    <row r="15">
      <c r="A15" t="inlineStr">
        <is>
          <t>أعمال الياسمين</t>
        </is>
      </c>
      <c r="B15" t="n">
        <v>5200</v>
      </c>
      <c r="C15" t="n">
        <v>12</v>
      </c>
      <c r="D15" t="n">
        <v>1</v>
      </c>
      <c r="E15" t="n">
        <v>100</v>
      </c>
      <c r="F15" t="n">
        <v>5</v>
      </c>
      <c r="I15">
        <f>IF($D15=1,$B15*$C15/$E15,$B15*$C15)*(1+$F15/100)</f>
        <v/>
      </c>
      <c r="J15">
        <f>IF(AND($B$18&gt;=5,OR($I15&lt;$B$21,$I15&gt;$B$22)),"",$I15)</f>
        <v/>
      </c>
    </row>
    <row r="16">
      <c r="A16" t="inlineStr">
        <is>
          <t>الملك عبدالعزيز</t>
        </is>
      </c>
      <c r="B16" t="n">
        <v>700</v>
      </c>
      <c r="C16" t="n">
        <v>1</v>
      </c>
      <c r="D16" t="n">
        <v>0</v>
      </c>
      <c r="F16" t="n">
        <v>-4</v>
      </c>
      <c r="I16">
        <f>IF($D16=1,$B16*$C16/$E16,$B16*$C16)*(1+$F16/100)</f>
        <v/>
      </c>
      <c r="J16">
        <f>IF(AND($B$18&gt;=5,OR($I16&lt;$B$21,$I16&gt;$B$22)),"",$I16)</f>
        <v/>
      </c>
    </row>
    <row r="17">
      <c r="A17" t="inlineStr">
        <is>
          <t>الصحافة</t>
        </is>
      </c>
      <c r="B17" t="n">
        <v>66000</v>
      </c>
      <c r="C17" t="n">
        <v>1</v>
      </c>
      <c r="D17" t="n">
        <v>1</v>
      </c>
      <c r="E17" t="n">
        <v>110</v>
      </c>
      <c r="F17" t="n">
        <v>2</v>
      </c>
      <c r="I17">
        <f>IF($D17=1,$B17*$C17/$E17,$B17*$C17)*(1+$F17/100)</f>
        <v/>
      </c>
      <c r="J17">
        <f>IF(AND($B$18&gt;=5,OR($I17&lt;$B$21,$I17&gt;$B$22)),"",$I17)</f>
        <v/>
      </c>
    </row>
    <row r="18">
      <c r="A18" t="inlineStr">
        <is>
          <t>rate_office_n</t>
        </is>
      </c>
      <c r="B18">
        <f>COUNT($I$14:$I$17)</f>
        <v/>
      </c>
    </row>
    <row r="19">
      <c r="A19" t="inlineStr">
        <is>
          <t>rate_office_q1</t>
        </is>
      </c>
      <c r="B19">
        <f>_xlfn.QUARTILE.INC($I$14:$I$17,1)</f>
        <v/>
      </c>
    </row>
    <row r="20">
      <c r="A20" t="inlineStr">
        <is>
          <t>rate_office_q3</t>
        </is>
      </c>
      <c r="B20">
        <f>_xlfn.QUARTILE.INC($I$14:$I$17,3)</f>
        <v/>
      </c>
    </row>
    <row r="21">
      <c r="A21" t="inlineStr">
        <is>
          <t>rate_office_lo</t>
        </is>
      </c>
      <c r="B21">
        <f>$B$19-1.5*($B$20-$B$19)</f>
        <v/>
      </c>
    </row>
    <row r="22">
      <c r="A22" t="inlineStr">
        <is>
          <t>rate_office_hi</t>
        </is>
      </c>
      <c r="B22">
        <f>$B$20+1.5*($B$20-$B$19)</f>
        <v/>
      </c>
    </row>
    <row r="23">
      <c r="A23" t="inlineStr">
        <is>
          <t>rate_office (median after exclusion)</t>
        </is>
      </c>
      <c r="B23">
        <f>MEDIAN($J$14:$J$17)</f>
        <v/>
      </c>
    </row>
    <row r="24">
      <c r="A24" s="1" t="inlineStr">
        <is>
          <t>أدلة معدل الرسملة</t>
        </is>
      </c>
    </row>
    <row r="25">
      <c r="A25" t="inlineStr">
        <is>
          <t>العقيق</t>
        </is>
      </c>
      <c r="B25" t="n">
        <v>31500000</v>
      </c>
      <c r="C25" t="n">
        <v>2330000</v>
      </c>
      <c r="E25" t="n">
        <v>0</v>
      </c>
      <c r="I25">
        <f>IF(AND(ISNUMBER($B25),$B25&gt;0),$C25/$B25*100,$D25)+$E25</f>
        <v/>
      </c>
      <c r="J25">
        <f>IF(AND($B$31&gt;=5,OR($I25&lt;$B$34,$I25&gt;$B$35)),"",$I25)</f>
        <v/>
      </c>
    </row>
    <row r="26">
      <c r="A26" t="inlineStr">
        <is>
          <t>الياسمين</t>
        </is>
      </c>
      <c r="B26" t="n">
        <v>24000000</v>
      </c>
      <c r="C26" t="n">
        <v>1850000</v>
      </c>
      <c r="E26" t="n">
        <v>-0.25</v>
      </c>
      <c r="I26">
        <f>IF(AND(ISNUMBER($B26),$B26&gt;0),$C26/$B26*100,$D26)+$E26</f>
        <v/>
      </c>
      <c r="J26">
        <f>IF(AND($B$31&gt;=5,OR($I26&lt;$B$34,$I26&gt;$B$35)),"",$I26)</f>
        <v/>
      </c>
    </row>
    <row r="27">
      <c r="A27" t="inlineStr">
        <is>
          <t>الملقا</t>
        </is>
      </c>
      <c r="B27" t="n">
        <v>38000000</v>
      </c>
      <c r="C27" t="n">
        <v>2810000</v>
      </c>
      <c r="E27" t="n">
        <v>0</v>
      </c>
      <c r="I27">
        <f>IF(AND(ISNUMBER($B27),$B27&gt;0),$C27/$B27*100,$D27)+$E27</f>
        <v/>
      </c>
      <c r="J27">
        <f>IF(AND($B$31&gt;=5,OR($I27&lt;$B$34,$I27&gt;$B$35)),"",$I27)</f>
        <v/>
      </c>
    </row>
    <row r="28">
      <c r="A28" t="inlineStr">
        <is>
          <t>الملك فهد</t>
        </is>
      </c>
      <c r="D28" t="n">
        <v>7.1</v>
      </c>
      <c r="E28" t="n">
        <v>0.25</v>
      </c>
      <c r="I28">
        <f>IF(AND(ISNUMBER($B28),$B28&gt;0),$C28/$B28*100,$D28)+$E28</f>
        <v/>
      </c>
      <c r="J28">
        <f>IF(AND($B$31&gt;=5,OR($I28&lt;$B$34,$I28&gt;$B$35)),"",$I28)</f>
        <v/>
      </c>
    </row>
    <row r="29">
      <c r="A29" t="inlineStr">
        <is>
          <t>النرجس</t>
        </is>
      </c>
      <c r="B29" t="n">
        <v>19800000</v>
      </c>
      <c r="C29" t="n">
        <v>1540000</v>
      </c>
      <c r="E29" t="n">
        <v>0</v>
      </c>
      <c r="I29">
        <f>IF(AND(ISNUMBER($B29),$B29&gt;0),$C29/$B29*100,$D29)+$E29</f>
        <v/>
      </c>
      <c r="J29">
        <f>IF(AND($B$31&gt;=5,OR($I29&lt;$B$34,$I29&gt;$B$35)),"",$I29)</f>
        <v/>
      </c>
    </row>
    <row r="30">
      <c r="A30" t="inlineStr">
        <is>
          <t>السليمانية</t>
        </is>
      </c>
      <c r="B30" t="n">
        <v>12000000</v>
      </c>
      <c r="C30" t="n">
        <v>1290000</v>
      </c>
      <c r="E30" t="n">
        <v>0</v>
      </c>
      <c r="I30">
        <f>IF(AND(ISNUMBER($B30),$B30&gt;0),$C30/$B30*100,$D30)+$E30</f>
        <v/>
      </c>
      <c r="J30">
        <f>IF(AND($B$31&gt;=5,OR($I30&lt;$B$34,$I30&gt;$B$35)),"",$I30)</f>
        <v/>
      </c>
    </row>
    <row r="31">
      <c r="A31" t="inlineStr">
        <is>
          <t>cap_n</t>
        </is>
      </c>
      <c r="B31">
        <f>COUNT($I$25:$I$30)</f>
        <v/>
      </c>
    </row>
    <row r="32">
      <c r="A32" t="inlineStr">
        <is>
          <t>cap_q1</t>
        </is>
      </c>
      <c r="B32">
        <f>_xlfn.QUARTILE.INC($I$25:$I$30,1)</f>
        <v/>
      </c>
    </row>
    <row r="33">
      <c r="A33" t="inlineStr">
        <is>
          <t>cap_q3</t>
        </is>
      </c>
      <c r="B33">
        <f>_xlfn.QUARTILE.INC($I$25:$I$30,3)</f>
        <v/>
      </c>
    </row>
    <row r="34">
      <c r="A34" t="inlineStr">
        <is>
          <t>cap_lo</t>
        </is>
      </c>
      <c r="B34">
        <f>$B$32-1.5*($B$33-$B$32)</f>
        <v/>
      </c>
    </row>
    <row r="35">
      <c r="A35" t="inlineStr">
        <is>
          <t>cap_hi</t>
        </is>
      </c>
      <c r="B35">
        <f>$B$33+1.5*($B$33-$B$32)</f>
        <v/>
      </c>
    </row>
    <row r="36">
      <c r="A36" t="inlineStr">
        <is>
          <t>cap (median after exclusion)</t>
        </is>
      </c>
      <c r="B36">
        <f>MEDIAN($J$25:$J$30)</f>
        <v/>
      </c>
    </row>
    <row r="37">
      <c r="A37" s="1" t="inlineStr">
        <is>
          <t>المقارنات البيعية</t>
        </is>
      </c>
    </row>
    <row r="38">
      <c r="A38" t="inlineStr">
        <is>
          <t>العقيق</t>
        </is>
      </c>
      <c r="B38" t="n">
        <v>31500000</v>
      </c>
      <c r="C38" t="n">
        <v>4500</v>
      </c>
      <c r="D38" t="n">
        <v>2</v>
      </c>
      <c r="I38">
        <f>$B38/$C38*(1+$D38/100)</f>
        <v/>
      </c>
      <c r="J38">
        <f>IF(AND($B$43&gt;=5,OR($I38&lt;$B$46,$I38&gt;$B$47)),"",$I38)</f>
        <v/>
      </c>
    </row>
    <row r="39">
      <c r="A39" t="inlineStr">
        <is>
          <t>الياسمين</t>
        </is>
      </c>
      <c r="B39" t="n">
        <v>24000000</v>
      </c>
      <c r="C39" t="n">
        <v>3600</v>
      </c>
      <c r="D39" t="n">
        <v>5</v>
      </c>
      <c r="I39">
        <f>$B39/$C39*(1+$D39/100)</f>
        <v/>
      </c>
      <c r="J39">
        <f>IF(AND($B$43&gt;=5,OR($I39&lt;$B$46,$I39&gt;$B$47)),"",$I39)</f>
        <v/>
      </c>
    </row>
    <row r="40">
      <c r="A40" t="inlineStr">
        <is>
          <t>الملقا</t>
        </is>
      </c>
      <c r="B40" t="n">
        <v>38000000</v>
      </c>
      <c r="C40" t="n">
        <v>5400</v>
      </c>
      <c r="D40" t="n">
        <v>2</v>
      </c>
      <c r="I40">
        <f>$B40/$C40*(1+$D40/100)</f>
        <v/>
      </c>
      <c r="J40">
        <f>IF(AND($B$43&gt;=5,OR($I40&lt;$B$46,$I40&gt;$B$47)),"",$I40)</f>
        <v/>
      </c>
    </row>
    <row r="41">
      <c r="A41" t="inlineStr">
        <is>
          <t>النرجس</t>
        </is>
      </c>
      <c r="B41" t="n">
        <v>19800000</v>
      </c>
      <c r="C41" t="n">
        <v>2850</v>
      </c>
      <c r="D41" t="n">
        <v>-2</v>
      </c>
      <c r="I41">
        <f>$B41/$C41*(1+$D41/100)</f>
        <v/>
      </c>
      <c r="J41">
        <f>IF(AND($B$43&gt;=5,OR($I41&lt;$B$46,$I41&gt;$B$47)),"",$I41)</f>
        <v/>
      </c>
    </row>
    <row r="42">
      <c r="A42" t="inlineStr">
        <is>
          <t>الملك فهد</t>
        </is>
      </c>
      <c r="B42" t="n">
        <v>52000000</v>
      </c>
      <c r="C42" t="n">
        <v>4300</v>
      </c>
      <c r="D42" t="n">
        <v>-10</v>
      </c>
      <c r="I42">
        <f>$B42/$C42*(1+$D42/100)</f>
        <v/>
      </c>
      <c r="J42">
        <f>IF(AND($B$43&gt;=5,OR($I42&lt;$B$46,$I42&gt;$B$47)),"",$I42)</f>
        <v/>
      </c>
    </row>
    <row r="43">
      <c r="A43" t="inlineStr">
        <is>
          <t>sale_rate_n</t>
        </is>
      </c>
      <c r="B43">
        <f>COUNT($I$38:$I$42)</f>
        <v/>
      </c>
    </row>
    <row r="44">
      <c r="A44" t="inlineStr">
        <is>
          <t>sale_rate_q1</t>
        </is>
      </c>
      <c r="B44">
        <f>_xlfn.QUARTILE.INC($I$38:$I$42,1)</f>
        <v/>
      </c>
    </row>
    <row r="45">
      <c r="A45" t="inlineStr">
        <is>
          <t>sale_rate_q3</t>
        </is>
      </c>
      <c r="B45">
        <f>_xlfn.QUARTILE.INC($I$38:$I$42,3)</f>
        <v/>
      </c>
    </row>
    <row r="46">
      <c r="A46" t="inlineStr">
        <is>
          <t>sale_rate_lo</t>
        </is>
      </c>
      <c r="B46">
        <f>$B$44-1.5*($B$45-$B$44)</f>
        <v/>
      </c>
    </row>
    <row r="47">
      <c r="A47" t="inlineStr">
        <is>
          <t>sale_rate_hi</t>
        </is>
      </c>
      <c r="B47">
        <f>$B$45+1.5*($B$45-$B$44)</f>
        <v/>
      </c>
    </row>
    <row r="48">
      <c r="A48" t="inlineStr">
        <is>
          <t>sale_rate (median after exclusion)</t>
        </is>
      </c>
      <c r="B48">
        <f>MEDIAN($J$38:$J$42)</f>
        <v/>
      </c>
    </row>
    <row r="49">
      <c r="A49" s="1" t="inlineStr">
        <is>
          <t>الافتراضات</t>
        </is>
      </c>
    </row>
    <row r="50">
      <c r="A50" t="inlineStr">
        <is>
          <t>gla</t>
        </is>
      </c>
      <c r="B50" t="n">
        <v>3780</v>
      </c>
    </row>
    <row r="51">
      <c r="A51" t="inlineStr">
        <is>
          <t>vac</t>
        </is>
      </c>
      <c r="B51" t="n">
        <v>0.07000000000000001</v>
      </c>
    </row>
    <row r="52">
      <c r="A52" t="inlineStr">
        <is>
          <t>coll</t>
        </is>
      </c>
      <c r="B52" t="n">
        <v>0.02</v>
      </c>
    </row>
    <row r="53">
      <c r="A53" t="inlineStr">
        <is>
          <t>other</t>
        </is>
      </c>
      <c r="B53" t="n">
        <v>60000</v>
      </c>
    </row>
    <row r="54">
      <c r="A54" t="inlineStr">
        <is>
          <t>mgmt</t>
        </is>
      </c>
      <c r="B54" t="n">
        <v>0.05</v>
      </c>
    </row>
    <row r="55">
      <c r="A55" t="inlineStr">
        <is>
          <t>maint_m2</t>
        </is>
      </c>
      <c r="B55" t="n">
        <v>35</v>
      </c>
    </row>
    <row r="56">
      <c r="A56" t="inlineStr">
        <is>
          <t>fixed_opex</t>
        </is>
      </c>
      <c r="B56" t="n">
        <v>235000</v>
      </c>
    </row>
    <row r="57">
      <c r="A57" t="inlineStr">
        <is>
          <t>reserve</t>
        </is>
      </c>
      <c r="B57" t="n">
        <v>0.02</v>
      </c>
    </row>
    <row r="58">
      <c r="A58" t="inlineStr">
        <is>
          <t>g2</t>
        </is>
      </c>
      <c r="B58" t="n">
        <v>0</v>
      </c>
    </row>
    <row r="59">
      <c r="A59" t="inlineStr">
        <is>
          <t>g3</t>
        </is>
      </c>
      <c r="B59" t="n">
        <v>0.025</v>
      </c>
    </row>
    <row r="60">
      <c r="A60" t="inlineStr">
        <is>
          <t>eg</t>
        </is>
      </c>
      <c r="B60" t="n">
        <v>0.025</v>
      </c>
    </row>
    <row r="61">
      <c r="A61" t="inlineStr">
        <is>
          <t>disc</t>
        </is>
      </c>
      <c r="B61" t="n">
        <v>0.0975</v>
      </c>
    </row>
    <row r="62">
      <c r="A62" t="inlineStr">
        <is>
          <t>exit_spread</t>
        </is>
      </c>
      <c r="B62" t="n">
        <v>0.0025</v>
      </c>
    </row>
    <row r="63">
      <c r="A63" t="inlineStr">
        <is>
          <t>sell</t>
        </is>
      </c>
      <c r="B63" t="n">
        <v>0.025</v>
      </c>
    </row>
    <row r="64">
      <c r="A64" t="inlineStr">
        <is>
          <t>post_adj</t>
        </is>
      </c>
      <c r="B64" t="n">
        <v>-120000</v>
      </c>
    </row>
    <row r="65">
      <c r="A65" t="inlineStr">
        <is>
          <t>w_direct</t>
        </is>
      </c>
      <c r="B65" t="n">
        <v>0.5</v>
      </c>
    </row>
    <row r="66">
      <c r="A66" t="inlineStr">
        <is>
          <t>w_dcf</t>
        </is>
      </c>
      <c r="B66" t="n">
        <v>0.3</v>
      </c>
    </row>
    <row r="67">
      <c r="A67" t="inlineStr">
        <is>
          <t>w_sales</t>
        </is>
      </c>
      <c r="B67" t="n">
        <v>0.2</v>
      </c>
    </row>
    <row r="68">
      <c r="A68" t="inlineStr">
        <is>
          <t>cap_frac</t>
        </is>
      </c>
      <c r="B68">
        <f>$B$36/100</f>
        <v/>
      </c>
    </row>
    <row r="69">
      <c r="A69" s="1" t="inlineStr">
        <is>
          <t>جدول الوحدات</t>
        </is>
      </c>
    </row>
    <row r="70">
      <c r="A70" t="inlineStr">
        <is>
          <t>u0_n</t>
        </is>
      </c>
      <c r="B70" t="n">
        <v>6</v>
      </c>
    </row>
    <row r="71">
      <c r="A71" t="inlineStr">
        <is>
          <t>u0_occ</t>
        </is>
      </c>
      <c r="B71" t="n">
        <v>6</v>
      </c>
    </row>
    <row r="72">
      <c r="A72" t="inlineStr">
        <is>
          <t>u0_contract</t>
        </is>
      </c>
      <c r="B72" t="n">
        <v>150000</v>
      </c>
    </row>
    <row r="73">
      <c r="A73" t="inlineStr">
        <is>
          <t>u0_L</t>
        </is>
      </c>
      <c r="B73" t="n">
        <v>4</v>
      </c>
    </row>
    <row r="74">
      <c r="A74" t="inlineStr">
        <is>
          <t>u0_esc</t>
        </is>
      </c>
      <c r="B74" t="n">
        <v>0.05</v>
      </c>
    </row>
    <row r="75">
      <c r="A75" t="inlineStr">
        <is>
          <t>u0_every</t>
        </is>
      </c>
      <c r="B75" t="n">
        <v>2</v>
      </c>
    </row>
    <row r="76">
      <c r="A76" t="inlineStr">
        <is>
          <t>u0_void</t>
        </is>
      </c>
      <c r="B76" t="n">
        <v>3</v>
      </c>
    </row>
    <row r="77">
      <c r="A77" t="inlineStr">
        <is>
          <t>u0_letm</t>
        </is>
      </c>
      <c r="B77" t="n">
        <v>1</v>
      </c>
    </row>
    <row r="78">
      <c r="A78" t="inlineStr">
        <is>
          <t>معارض market rent per unit</t>
        </is>
      </c>
      <c r="B78">
        <f>$B$12*150</f>
        <v/>
      </c>
    </row>
    <row r="79">
      <c r="A79" t="inlineStr">
        <is>
          <t>u1_n</t>
        </is>
      </c>
      <c r="B79" t="n">
        <v>24</v>
      </c>
    </row>
    <row r="80">
      <c r="A80" t="inlineStr">
        <is>
          <t>u1_occ</t>
        </is>
      </c>
      <c r="B80" t="n">
        <v>20</v>
      </c>
    </row>
    <row r="81">
      <c r="A81" t="inlineStr">
        <is>
          <t>u1_contract</t>
        </is>
      </c>
      <c r="B81" t="n">
        <v>72000</v>
      </c>
    </row>
    <row r="82">
      <c r="A82" t="inlineStr">
        <is>
          <t>u1_L</t>
        </is>
      </c>
      <c r="B82" t="n">
        <v>2</v>
      </c>
    </row>
    <row r="83">
      <c r="A83" t="inlineStr">
        <is>
          <t>u1_esc</t>
        </is>
      </c>
      <c r="B83" t="n">
        <v>0</v>
      </c>
    </row>
    <row r="84">
      <c r="A84" t="inlineStr">
        <is>
          <t>u1_every</t>
        </is>
      </c>
      <c r="B84" t="n">
        <v>1</v>
      </c>
    </row>
    <row r="85">
      <c r="A85" t="inlineStr">
        <is>
          <t>u1_void</t>
        </is>
      </c>
      <c r="B85" t="n">
        <v>4</v>
      </c>
    </row>
    <row r="86">
      <c r="A86" t="inlineStr">
        <is>
          <t>u1_letm</t>
        </is>
      </c>
      <c r="B86" t="n">
        <v>1</v>
      </c>
    </row>
    <row r="87">
      <c r="A87" t="inlineStr">
        <is>
          <t>مكاتب market rent per unit</t>
        </is>
      </c>
      <c r="B87">
        <f>$B$23*120</f>
        <v/>
      </c>
    </row>
    <row r="88">
      <c r="A88" s="1" t="inlineStr">
        <is>
          <t>سنوات: DCF</t>
        </is>
      </c>
    </row>
    <row r="89">
      <c r="A89" t="inlineStr">
        <is>
          <t>DCF:t</t>
        </is>
      </c>
      <c r="B89" t="n">
        <v>1</v>
      </c>
      <c r="C89" t="n">
        <v>2</v>
      </c>
      <c r="D89" t="n">
        <v>3</v>
      </c>
      <c r="E89" t="n">
        <v>4</v>
      </c>
      <c r="F89" t="n">
        <v>5</v>
      </c>
      <c r="G89" t="n">
        <v>6</v>
      </c>
      <c r="H89" t="n">
        <v>7</v>
      </c>
      <c r="I89" t="n">
        <v>8</v>
      </c>
      <c r="J89" t="n">
        <v>9</v>
      </c>
      <c r="K89" t="n">
        <v>10</v>
      </c>
      <c r="L89" t="n">
        <v>11</v>
      </c>
    </row>
    <row r="90">
      <c r="A90" t="inlineStr">
        <is>
          <t>DCF:rev</t>
        </is>
      </c>
      <c r="B90" t="n">
        <v>1</v>
      </c>
      <c r="C90">
        <f>B90*(1+IF(2=2,$B$58,$B$59))</f>
        <v/>
      </c>
      <c r="D90">
        <f>C90*(1+IF(3=2,$B$58,$B$59))</f>
        <v/>
      </c>
      <c r="E90">
        <f>D90*(1+IF(4=2,$B$58,$B$59))</f>
        <v/>
      </c>
      <c r="F90">
        <f>E90*(1+IF(5=2,$B$58,$B$59))</f>
        <v/>
      </c>
      <c r="G90">
        <f>F90*(1+IF(6=2,$B$58,$B$59))</f>
        <v/>
      </c>
      <c r="H90">
        <f>G90*(1+IF(7=2,$B$58,$B$59))</f>
        <v/>
      </c>
      <c r="I90">
        <f>H90*(1+IF(8=2,$B$58,$B$59))</f>
        <v/>
      </c>
      <c r="J90">
        <f>I90*(1+IF(9=2,$B$58,$B$59))</f>
        <v/>
      </c>
      <c r="K90">
        <f>J90*(1+IF(10=2,$B$58,$B$59))</f>
        <v/>
      </c>
      <c r="L90">
        <f>K90*(1+IF(11=2,$B$58,$B$59))</f>
        <v/>
      </c>
    </row>
    <row r="91">
      <c r="A91" t="inlineStr">
        <is>
          <t>DCF:exp</t>
        </is>
      </c>
      <c r="B91">
        <f>(1+$B$60)^(1-1)</f>
        <v/>
      </c>
      <c r="C91">
        <f>(1+$B$60)^(2-1)</f>
        <v/>
      </c>
      <c r="D91">
        <f>(1+$B$60)^(3-1)</f>
        <v/>
      </c>
      <c r="E91">
        <f>(1+$B$60)^(4-1)</f>
        <v/>
      </c>
      <c r="F91">
        <f>(1+$B$60)^(5-1)</f>
        <v/>
      </c>
      <c r="G91">
        <f>(1+$B$60)^(6-1)</f>
        <v/>
      </c>
      <c r="H91">
        <f>(1+$B$60)^(7-1)</f>
        <v/>
      </c>
      <c r="I91">
        <f>(1+$B$60)^(8-1)</f>
        <v/>
      </c>
      <c r="J91">
        <f>(1+$B$60)^(9-1)</f>
        <v/>
      </c>
      <c r="K91">
        <f>(1+$B$60)^(10-1)</f>
        <v/>
      </c>
      <c r="L91">
        <f>(1+$B$60)^(11-1)</f>
        <v/>
      </c>
    </row>
    <row r="92">
      <c r="A92" t="inlineStr">
        <is>
          <t>DCF:pgi0</t>
        </is>
      </c>
      <c r="B92">
        <f>IF(1&lt;=$B$73,$B$71*$B$72*(1+$B$74)^INT((1-1)/$B$75)+(6-$B$71)*$B$78*B90,6*$B$78*B90)</f>
        <v/>
      </c>
      <c r="C92">
        <f>IF(2&lt;=$B$73,$B$71*$B$72*(1+$B$74)^INT((2-1)/$B$75)+(6-$B$71)*$B$78*C90,6*$B$78*C90)</f>
        <v/>
      </c>
      <c r="D92">
        <f>IF(3&lt;=$B$73,$B$71*$B$72*(1+$B$74)^INT((3-1)/$B$75)+(6-$B$71)*$B$78*D90,6*$B$78*D90)</f>
        <v/>
      </c>
      <c r="E92">
        <f>IF(4&lt;=$B$73,$B$71*$B$72*(1+$B$74)^INT((4-1)/$B$75)+(6-$B$71)*$B$78*E90,6*$B$78*E90)</f>
        <v/>
      </c>
      <c r="F92">
        <f>IF(5&lt;=$B$73,$B$71*$B$72*(1+$B$74)^INT((5-1)/$B$75)+(6-$B$71)*$B$78*F90,6*$B$78*F90)</f>
        <v/>
      </c>
      <c r="G92">
        <f>IF(6&lt;=$B$73,$B$71*$B$72*(1+$B$74)^INT((6-1)/$B$75)+(6-$B$71)*$B$78*G90,6*$B$78*G90)</f>
        <v/>
      </c>
      <c r="H92">
        <f>IF(7&lt;=$B$73,$B$71*$B$72*(1+$B$74)^INT((7-1)/$B$75)+(6-$B$71)*$B$78*H90,6*$B$78*H90)</f>
        <v/>
      </c>
      <c r="I92">
        <f>IF(8&lt;=$B$73,$B$71*$B$72*(1+$B$74)^INT((8-1)/$B$75)+(6-$B$71)*$B$78*I90,6*$B$78*I90)</f>
        <v/>
      </c>
      <c r="J92">
        <f>IF(9&lt;=$B$73,$B$71*$B$72*(1+$B$74)^INT((9-1)/$B$75)+(6-$B$71)*$B$78*J90,6*$B$78*J90)</f>
        <v/>
      </c>
      <c r="K92">
        <f>IF(10&lt;=$B$73,$B$71*$B$72*(1+$B$74)^INT((10-1)/$B$75)+(6-$B$71)*$B$78*K90,6*$B$78*K90)</f>
        <v/>
      </c>
      <c r="L92">
        <f>IF(11&lt;=$B$73,$B$71*$B$72*(1+$B$74)^INT((11-1)/$B$75)+(6-$B$71)*$B$78*L90,6*$B$78*L90)</f>
        <v/>
      </c>
    </row>
    <row r="93">
      <c r="A93" t="inlineStr">
        <is>
          <t>DCF:pgi1</t>
        </is>
      </c>
      <c r="B93">
        <f>IF(1&lt;=$B$82,$B$80*$B$81*(1+$B$83)^INT((1-1)/$B$84)+(24-$B$80)*$B$87*B90,24*$B$87*B90)</f>
        <v/>
      </c>
      <c r="C93">
        <f>IF(2&lt;=$B$82,$B$80*$B$81*(1+$B$83)^INT((2-1)/$B$84)+(24-$B$80)*$B$87*C90,24*$B$87*C90)</f>
        <v/>
      </c>
      <c r="D93">
        <f>IF(3&lt;=$B$82,$B$80*$B$81*(1+$B$83)^INT((3-1)/$B$84)+(24-$B$80)*$B$87*D90,24*$B$87*D90)</f>
        <v/>
      </c>
      <c r="E93">
        <f>IF(4&lt;=$B$82,$B$80*$B$81*(1+$B$83)^INT((4-1)/$B$84)+(24-$B$80)*$B$87*E90,24*$B$87*E90)</f>
        <v/>
      </c>
      <c r="F93">
        <f>IF(5&lt;=$B$82,$B$80*$B$81*(1+$B$83)^INT((5-1)/$B$84)+(24-$B$80)*$B$87*F90,24*$B$87*F90)</f>
        <v/>
      </c>
      <c r="G93">
        <f>IF(6&lt;=$B$82,$B$80*$B$81*(1+$B$83)^INT((6-1)/$B$84)+(24-$B$80)*$B$87*G90,24*$B$87*G90)</f>
        <v/>
      </c>
      <c r="H93">
        <f>IF(7&lt;=$B$82,$B$80*$B$81*(1+$B$83)^INT((7-1)/$B$84)+(24-$B$80)*$B$87*H90,24*$B$87*H90)</f>
        <v/>
      </c>
      <c r="I93">
        <f>IF(8&lt;=$B$82,$B$80*$B$81*(1+$B$83)^INT((8-1)/$B$84)+(24-$B$80)*$B$87*I90,24*$B$87*I90)</f>
        <v/>
      </c>
      <c r="J93">
        <f>IF(9&lt;=$B$82,$B$80*$B$81*(1+$B$83)^INT((9-1)/$B$84)+(24-$B$80)*$B$87*J90,24*$B$87*J90)</f>
        <v/>
      </c>
      <c r="K93">
        <f>IF(10&lt;=$B$82,$B$80*$B$81*(1+$B$83)^INT((10-1)/$B$84)+(24-$B$80)*$B$87*K90,24*$B$87*K90)</f>
        <v/>
      </c>
      <c r="L93">
        <f>IF(11&lt;=$B$82,$B$80*$B$81*(1+$B$83)^INT((11-1)/$B$84)+(24-$B$80)*$B$87*L90,24*$B$87*L90)</f>
        <v/>
      </c>
    </row>
    <row r="94">
      <c r="A94" t="inlineStr">
        <is>
          <t>DCF:void0</t>
        </is>
      </c>
      <c r="B94">
        <f>IF(1=$B$73+1,$B$71*$B$78*B90*$B$76/12,0)</f>
        <v/>
      </c>
      <c r="C94">
        <f>IF(2=$B$73+1,$B$71*$B$78*C90*$B$76/12,0)</f>
        <v/>
      </c>
      <c r="D94">
        <f>IF(3=$B$73+1,$B$71*$B$78*D90*$B$76/12,0)</f>
        <v/>
      </c>
      <c r="E94">
        <f>IF(4=$B$73+1,$B$71*$B$78*E90*$B$76/12,0)</f>
        <v/>
      </c>
      <c r="F94">
        <f>IF(5=$B$73+1,$B$71*$B$78*F90*$B$76/12,0)</f>
        <v/>
      </c>
      <c r="G94">
        <f>IF(6=$B$73+1,$B$71*$B$78*G90*$B$76/12,0)</f>
        <v/>
      </c>
      <c r="H94">
        <f>IF(7=$B$73+1,$B$71*$B$78*H90*$B$76/12,0)</f>
        <v/>
      </c>
      <c r="I94">
        <f>IF(8=$B$73+1,$B$71*$B$78*I90*$B$76/12,0)</f>
        <v/>
      </c>
      <c r="J94">
        <f>IF(9=$B$73+1,$B$71*$B$78*J90*$B$76/12,0)</f>
        <v/>
      </c>
      <c r="K94">
        <f>IF(10=$B$73+1,$B$71*$B$78*K90*$B$76/12,0)</f>
        <v/>
      </c>
      <c r="L94">
        <f>IF(11=$B$73+1,$B$71*$B$78*L90*$B$76/12,0)</f>
        <v/>
      </c>
    </row>
    <row r="95">
      <c r="A95" t="inlineStr">
        <is>
          <t>DCF:void1</t>
        </is>
      </c>
      <c r="B95">
        <f>IF(1=$B$82+1,$B$80*$B$87*B90*$B$85/12,0)</f>
        <v/>
      </c>
      <c r="C95">
        <f>IF(2=$B$82+1,$B$80*$B$87*C90*$B$85/12,0)</f>
        <v/>
      </c>
      <c r="D95">
        <f>IF(3=$B$82+1,$B$80*$B$87*D90*$B$85/12,0)</f>
        <v/>
      </c>
      <c r="E95">
        <f>IF(4=$B$82+1,$B$80*$B$87*E90*$B$85/12,0)</f>
        <v/>
      </c>
      <c r="F95">
        <f>IF(5=$B$82+1,$B$80*$B$87*F90*$B$85/12,0)</f>
        <v/>
      </c>
      <c r="G95">
        <f>IF(6=$B$82+1,$B$80*$B$87*G90*$B$85/12,0)</f>
        <v/>
      </c>
      <c r="H95">
        <f>IF(7=$B$82+1,$B$80*$B$87*H90*$B$85/12,0)</f>
        <v/>
      </c>
      <c r="I95">
        <f>IF(8=$B$82+1,$B$80*$B$87*I90*$B$85/12,0)</f>
        <v/>
      </c>
      <c r="J95">
        <f>IF(9=$B$82+1,$B$80*$B$87*J90*$B$85/12,0)</f>
        <v/>
      </c>
      <c r="K95">
        <f>IF(10=$B$82+1,$B$80*$B$87*K90*$B$85/12,0)</f>
        <v/>
      </c>
      <c r="L95">
        <f>IF(11=$B$82+1,$B$80*$B$87*L90*$B$85/12,0)</f>
        <v/>
      </c>
    </row>
    <row r="96">
      <c r="A96" t="inlineStr">
        <is>
          <t>DCF:let0</t>
        </is>
      </c>
      <c r="B96">
        <f>IF(1=$B$73+1,$B$71*$B$78*B90*$B$77/12,0)</f>
        <v/>
      </c>
      <c r="C96">
        <f>IF(2=$B$73+1,$B$71*$B$78*C90*$B$77/12,0)</f>
        <v/>
      </c>
      <c r="D96">
        <f>IF(3=$B$73+1,$B$71*$B$78*D90*$B$77/12,0)</f>
        <v/>
      </c>
      <c r="E96">
        <f>IF(4=$B$73+1,$B$71*$B$78*E90*$B$77/12,0)</f>
        <v/>
      </c>
      <c r="F96">
        <f>IF(5=$B$73+1,$B$71*$B$78*F90*$B$77/12,0)</f>
        <v/>
      </c>
      <c r="G96">
        <f>IF(6=$B$73+1,$B$71*$B$78*G90*$B$77/12,0)</f>
        <v/>
      </c>
      <c r="H96">
        <f>IF(7=$B$73+1,$B$71*$B$78*H90*$B$77/12,0)</f>
        <v/>
      </c>
      <c r="I96">
        <f>IF(8=$B$73+1,$B$71*$B$78*I90*$B$77/12,0)</f>
        <v/>
      </c>
      <c r="J96">
        <f>IF(9=$B$73+1,$B$71*$B$78*J90*$B$77/12,0)</f>
        <v/>
      </c>
      <c r="K96">
        <f>IF(10=$B$73+1,$B$71*$B$78*K90*$B$77/12,0)</f>
        <v/>
      </c>
      <c r="L96">
        <f>IF(11=$B$73+1,$B$71*$B$78*L90*$B$77/12,0)</f>
        <v/>
      </c>
    </row>
    <row r="97">
      <c r="A97" t="inlineStr">
        <is>
          <t>DCF:let1</t>
        </is>
      </c>
      <c r="B97">
        <f>IF(1=$B$82+1,$B$80*$B$87*B90*$B$86/12,0)</f>
        <v/>
      </c>
      <c r="C97">
        <f>IF(2=$B$82+1,$B$80*$B$87*C90*$B$86/12,0)</f>
        <v/>
      </c>
      <c r="D97">
        <f>IF(3=$B$82+1,$B$80*$B$87*D90*$B$86/12,0)</f>
        <v/>
      </c>
      <c r="E97">
        <f>IF(4=$B$82+1,$B$80*$B$87*E90*$B$86/12,0)</f>
        <v/>
      </c>
      <c r="F97">
        <f>IF(5=$B$82+1,$B$80*$B$87*F90*$B$86/12,0)</f>
        <v/>
      </c>
      <c r="G97">
        <f>IF(6=$B$82+1,$B$80*$B$87*G90*$B$86/12,0)</f>
        <v/>
      </c>
      <c r="H97">
        <f>IF(7=$B$82+1,$B$80*$B$87*H90*$B$86/12,0)</f>
        <v/>
      </c>
      <c r="I97">
        <f>IF(8=$B$82+1,$B$80*$B$87*I90*$B$86/12,0)</f>
        <v/>
      </c>
      <c r="J97">
        <f>IF(9=$B$82+1,$B$80*$B$87*J90*$B$86/12,0)</f>
        <v/>
      </c>
      <c r="K97">
        <f>IF(10=$B$82+1,$B$80*$B$87*K90*$B$86/12,0)</f>
        <v/>
      </c>
      <c r="L97">
        <f>IF(11=$B$82+1,$B$80*$B$87*L90*$B$86/12,0)</f>
        <v/>
      </c>
    </row>
    <row r="98">
      <c r="A98" t="inlineStr">
        <is>
          <t>DCF:pgi</t>
        </is>
      </c>
      <c r="B98">
        <f>B92+B93</f>
        <v/>
      </c>
      <c r="C98">
        <f>C92+C93</f>
        <v/>
      </c>
      <c r="D98">
        <f>D92+D93</f>
        <v/>
      </c>
      <c r="E98">
        <f>E92+E93</f>
        <v/>
      </c>
      <c r="F98">
        <f>F92+F93</f>
        <v/>
      </c>
      <c r="G98">
        <f>G92+G93</f>
        <v/>
      </c>
      <c r="H98">
        <f>H92+H93</f>
        <v/>
      </c>
      <c r="I98">
        <f>I92+I93</f>
        <v/>
      </c>
      <c r="J98">
        <f>J92+J93</f>
        <v/>
      </c>
      <c r="K98">
        <f>K92+K93</f>
        <v/>
      </c>
      <c r="L98">
        <f>L92+L93</f>
        <v/>
      </c>
    </row>
    <row r="99">
      <c r="A99" t="inlineStr">
        <is>
          <t>DCF:vacl</t>
        </is>
      </c>
      <c r="B99">
        <f>B98*$B$51</f>
        <v/>
      </c>
      <c r="C99">
        <f>C98*$B$51</f>
        <v/>
      </c>
      <c r="D99">
        <f>D98*$B$51</f>
        <v/>
      </c>
      <c r="E99">
        <f>E98*$B$51</f>
        <v/>
      </c>
      <c r="F99">
        <f>F98*$B$51</f>
        <v/>
      </c>
      <c r="G99">
        <f>G98*$B$51</f>
        <v/>
      </c>
      <c r="H99">
        <f>H98*$B$51</f>
        <v/>
      </c>
      <c r="I99">
        <f>I98*$B$51</f>
        <v/>
      </c>
      <c r="J99">
        <f>J98*$B$51</f>
        <v/>
      </c>
      <c r="K99">
        <f>K98*$B$51</f>
        <v/>
      </c>
      <c r="L99">
        <f>L98*$B$51</f>
        <v/>
      </c>
    </row>
    <row r="100">
      <c r="A100" t="inlineStr">
        <is>
          <t>DCF:colll</t>
        </is>
      </c>
      <c r="B100">
        <f>(B98-B99)*$B$52</f>
        <v/>
      </c>
      <c r="C100">
        <f>(C98-C99)*$B$52</f>
        <v/>
      </c>
      <c r="D100">
        <f>(D98-D99)*$B$52</f>
        <v/>
      </c>
      <c r="E100">
        <f>(E98-E99)*$B$52</f>
        <v/>
      </c>
      <c r="F100">
        <f>(F98-F99)*$B$52</f>
        <v/>
      </c>
      <c r="G100">
        <f>(G98-G99)*$B$52</f>
        <v/>
      </c>
      <c r="H100">
        <f>(H98-H99)*$B$52</f>
        <v/>
      </c>
      <c r="I100">
        <f>(I98-I99)*$B$52</f>
        <v/>
      </c>
      <c r="J100">
        <f>(J98-J99)*$B$52</f>
        <v/>
      </c>
      <c r="K100">
        <f>(K98-K99)*$B$52</f>
        <v/>
      </c>
      <c r="L100">
        <f>(L98-L99)*$B$52</f>
        <v/>
      </c>
    </row>
    <row r="101">
      <c r="A101" t="inlineStr">
        <is>
          <t>DCF:voidl</t>
        </is>
      </c>
      <c r="B101">
        <f>B94+B95</f>
        <v/>
      </c>
      <c r="C101">
        <f>C94+C95</f>
        <v/>
      </c>
      <c r="D101">
        <f>D94+D95</f>
        <v/>
      </c>
      <c r="E101">
        <f>E94+E95</f>
        <v/>
      </c>
      <c r="F101">
        <f>F94+F95</f>
        <v/>
      </c>
      <c r="G101">
        <f>G94+G95</f>
        <v/>
      </c>
      <c r="H101">
        <f>H94+H95</f>
        <v/>
      </c>
      <c r="I101">
        <f>I94+I95</f>
        <v/>
      </c>
      <c r="J101">
        <f>J94+J95</f>
        <v/>
      </c>
      <c r="K101">
        <f>K94+K95</f>
        <v/>
      </c>
      <c r="L101">
        <f>L94+L95</f>
        <v/>
      </c>
    </row>
    <row r="102">
      <c r="A102" t="inlineStr">
        <is>
          <t>DCF:oth</t>
        </is>
      </c>
      <c r="B102">
        <f>$B$53*B90</f>
        <v/>
      </c>
      <c r="C102">
        <f>$B$53*C90</f>
        <v/>
      </c>
      <c r="D102">
        <f>$B$53*D90</f>
        <v/>
      </c>
      <c r="E102">
        <f>$B$53*E90</f>
        <v/>
      </c>
      <c r="F102">
        <f>$B$53*F90</f>
        <v/>
      </c>
      <c r="G102">
        <f>$B$53*G90</f>
        <v/>
      </c>
      <c r="H102">
        <f>$B$53*H90</f>
        <v/>
      </c>
      <c r="I102">
        <f>$B$53*I90</f>
        <v/>
      </c>
      <c r="J102">
        <f>$B$53*J90</f>
        <v/>
      </c>
      <c r="K102">
        <f>$B$53*K90</f>
        <v/>
      </c>
      <c r="L102">
        <f>$B$53*L90</f>
        <v/>
      </c>
    </row>
    <row r="103">
      <c r="A103" t="inlineStr">
        <is>
          <t>DCF:egi</t>
        </is>
      </c>
      <c r="B103">
        <f>B98-B99-B100-B101+B102</f>
        <v/>
      </c>
      <c r="C103">
        <f>C98-C99-C100-C101+C102</f>
        <v/>
      </c>
      <c r="D103">
        <f>D98-D99-D100-D101+D102</f>
        <v/>
      </c>
      <c r="E103">
        <f>E98-E99-E100-E101+E102</f>
        <v/>
      </c>
      <c r="F103">
        <f>F98-F99-F100-F101+F102</f>
        <v/>
      </c>
      <c r="G103">
        <f>G98-G99-G100-G101+G102</f>
        <v/>
      </c>
      <c r="H103">
        <f>H98-H99-H100-H101+H102</f>
        <v/>
      </c>
      <c r="I103">
        <f>I98-I99-I100-I101+I102</f>
        <v/>
      </c>
      <c r="J103">
        <f>J98-J99-J100-J101+J102</f>
        <v/>
      </c>
      <c r="K103">
        <f>K98-K99-K100-K101+K102</f>
        <v/>
      </c>
      <c r="L103">
        <f>L98-L99-L100-L101+L102</f>
        <v/>
      </c>
    </row>
    <row r="104">
      <c r="A104" t="inlineStr">
        <is>
          <t>DCF:opex</t>
        </is>
      </c>
      <c r="B104">
        <f>($B$54+$B$57)*B103+($B$55*$B$50+$B$56)*B91</f>
        <v/>
      </c>
      <c r="C104">
        <f>($B$54+$B$57)*C103+($B$55*$B$50+$B$56)*C91</f>
        <v/>
      </c>
      <c r="D104">
        <f>($B$54+$B$57)*D103+($B$55*$B$50+$B$56)*D91</f>
        <v/>
      </c>
      <c r="E104">
        <f>($B$54+$B$57)*E103+($B$55*$B$50+$B$56)*E91</f>
        <v/>
      </c>
      <c r="F104">
        <f>($B$54+$B$57)*F103+($B$55*$B$50+$B$56)*F91</f>
        <v/>
      </c>
      <c r="G104">
        <f>($B$54+$B$57)*G103+($B$55*$B$50+$B$56)*G91</f>
        <v/>
      </c>
      <c r="H104">
        <f>($B$54+$B$57)*H103+($B$55*$B$50+$B$56)*H91</f>
        <v/>
      </c>
      <c r="I104">
        <f>($B$54+$B$57)*I103+($B$55*$B$50+$B$56)*I91</f>
        <v/>
      </c>
      <c r="J104">
        <f>($B$54+$B$57)*J103+($B$55*$B$50+$B$56)*J91</f>
        <v/>
      </c>
      <c r="K104">
        <f>($B$54+$B$57)*K103+($B$55*$B$50+$B$56)*K91</f>
        <v/>
      </c>
      <c r="L104">
        <f>($B$54+$B$57)*L103+($B$55*$B$50+$B$56)*L91</f>
        <v/>
      </c>
    </row>
    <row r="105">
      <c r="A105" t="inlineStr">
        <is>
          <t>DCF:noi</t>
        </is>
      </c>
      <c r="B105">
        <f>B103-B104</f>
        <v/>
      </c>
      <c r="C105">
        <f>C103-C104</f>
        <v/>
      </c>
      <c r="D105">
        <f>D103-D104</f>
        <v/>
      </c>
      <c r="E105">
        <f>E103-E104</f>
        <v/>
      </c>
      <c r="F105">
        <f>F103-F104</f>
        <v/>
      </c>
      <c r="G105">
        <f>G103-G104</f>
        <v/>
      </c>
      <c r="H105">
        <f>H103-H104</f>
        <v/>
      </c>
      <c r="I105">
        <f>I103-I104</f>
        <v/>
      </c>
      <c r="J105">
        <f>J103-J104</f>
        <v/>
      </c>
      <c r="K105">
        <f>K103-K104</f>
        <v/>
      </c>
      <c r="L105">
        <f>L103-L104</f>
        <v/>
      </c>
    </row>
    <row r="106">
      <c r="A106" t="inlineStr">
        <is>
          <t>DCF:capex</t>
        </is>
      </c>
      <c r="B106" t="n">
        <v>0</v>
      </c>
      <c r="C106" t="n">
        <v>0</v>
      </c>
      <c r="D106" t="n">
        <v>0</v>
      </c>
      <c r="E106" t="n">
        <v>0</v>
      </c>
      <c r="F106" t="n">
        <v>450000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</row>
    <row r="107">
      <c r="A107" t="inlineStr">
        <is>
          <t>DCF:letc</t>
        </is>
      </c>
      <c r="B107">
        <f>B96+B97</f>
        <v/>
      </c>
      <c r="C107">
        <f>C96+C97</f>
        <v/>
      </c>
      <c r="D107">
        <f>D96+D97</f>
        <v/>
      </c>
      <c r="E107">
        <f>E96+E97</f>
        <v/>
      </c>
      <c r="F107">
        <f>F96+F97</f>
        <v/>
      </c>
      <c r="G107">
        <f>G96+G97</f>
        <v/>
      </c>
      <c r="H107">
        <f>H96+H97</f>
        <v/>
      </c>
      <c r="I107">
        <f>I96+I97</f>
        <v/>
      </c>
      <c r="J107">
        <f>J96+J97</f>
        <v/>
      </c>
      <c r="K107">
        <f>K96+K97</f>
        <v/>
      </c>
      <c r="L107">
        <f>L96+L97</f>
        <v/>
      </c>
    </row>
    <row r="108">
      <c r="A108" t="inlineStr">
        <is>
          <t>DCF:cf</t>
        </is>
      </c>
      <c r="B108">
        <f>B105-B106-B107</f>
        <v/>
      </c>
      <c r="C108">
        <f>C105-C106-C107</f>
        <v/>
      </c>
      <c r="D108">
        <f>D105-D106-D107</f>
        <v/>
      </c>
      <c r="E108">
        <f>E105-E106-E107</f>
        <v/>
      </c>
      <c r="F108">
        <f>F105-F106-F107</f>
        <v/>
      </c>
      <c r="G108">
        <f>G105-G106-G107</f>
        <v/>
      </c>
      <c r="H108">
        <f>H105-H106-H107</f>
        <v/>
      </c>
      <c r="I108">
        <f>I105-I106-I107</f>
        <v/>
      </c>
      <c r="J108">
        <f>J105-J106-J107</f>
        <v/>
      </c>
      <c r="K108">
        <f>K105-K106-K107</f>
        <v/>
      </c>
      <c r="L108">
        <f>L105-L106-L107</f>
        <v/>
      </c>
    </row>
    <row r="110">
      <c r="A110" s="1" t="inlineStr">
        <is>
          <t>سنوات: حسب العقود بلا نمو</t>
        </is>
      </c>
    </row>
    <row r="111">
      <c r="A111" t="inlineStr">
        <is>
          <t>حسب العقود بلا نمو:t</t>
        </is>
      </c>
      <c r="B111" t="n">
        <v>1</v>
      </c>
      <c r="C111" t="n">
        <v>2</v>
      </c>
      <c r="D111" t="n">
        <v>3</v>
      </c>
      <c r="E111" t="n">
        <v>4</v>
      </c>
      <c r="F111" t="n">
        <v>5</v>
      </c>
      <c r="G111" t="n">
        <v>6</v>
      </c>
    </row>
    <row r="112">
      <c r="A112" t="inlineStr">
        <is>
          <t>حسب العقود بلا نمو:rev</t>
        </is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</row>
    <row r="113">
      <c r="A113" t="inlineStr">
        <is>
          <t>حسب العقود بلا نمو:exp</t>
        </is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</row>
    <row r="114">
      <c r="A114" t="inlineStr">
        <is>
          <t>حسب العقود بلا نمو:pgi0</t>
        </is>
      </c>
      <c r="B114">
        <f>IF(1&lt;=$B$73,$B$71*$B$72*(1+$B$74)^INT((1-1)/$B$75)+(6-$B$71)*$B$78*B112,6*$B$78*B112)</f>
        <v/>
      </c>
      <c r="C114">
        <f>IF(2&lt;=$B$73,$B$71*$B$72*(1+$B$74)^INT((2-1)/$B$75)+(6-$B$71)*$B$78*C112,6*$B$78*C112)</f>
        <v/>
      </c>
      <c r="D114">
        <f>IF(3&lt;=$B$73,$B$71*$B$72*(1+$B$74)^INT((3-1)/$B$75)+(6-$B$71)*$B$78*D112,6*$B$78*D112)</f>
        <v/>
      </c>
      <c r="E114">
        <f>IF(4&lt;=$B$73,$B$71*$B$72*(1+$B$74)^INT((4-1)/$B$75)+(6-$B$71)*$B$78*E112,6*$B$78*E112)</f>
        <v/>
      </c>
      <c r="F114">
        <f>IF(5&lt;=$B$73,$B$71*$B$72*(1+$B$74)^INT((5-1)/$B$75)+(6-$B$71)*$B$78*F112,6*$B$78*F112)</f>
        <v/>
      </c>
      <c r="G114">
        <f>IF(6&lt;=$B$73,$B$71*$B$72*(1+$B$74)^INT((6-1)/$B$75)+(6-$B$71)*$B$78*G112,6*$B$78*G112)</f>
        <v/>
      </c>
    </row>
    <row r="115">
      <c r="A115" t="inlineStr">
        <is>
          <t>حسب العقود بلا نمو:pgi1</t>
        </is>
      </c>
      <c r="B115">
        <f>IF(1&lt;=$B$82,$B$80*$B$81*(1+$B$83)^INT((1-1)/$B$84)+(24-$B$80)*$B$87*B112,24*$B$87*B112)</f>
        <v/>
      </c>
      <c r="C115">
        <f>IF(2&lt;=$B$82,$B$80*$B$81*(1+$B$83)^INT((2-1)/$B$84)+(24-$B$80)*$B$87*C112,24*$B$87*C112)</f>
        <v/>
      </c>
      <c r="D115">
        <f>IF(3&lt;=$B$82,$B$80*$B$81*(1+$B$83)^INT((3-1)/$B$84)+(24-$B$80)*$B$87*D112,24*$B$87*D112)</f>
        <v/>
      </c>
      <c r="E115">
        <f>IF(4&lt;=$B$82,$B$80*$B$81*(1+$B$83)^INT((4-1)/$B$84)+(24-$B$80)*$B$87*E112,24*$B$87*E112)</f>
        <v/>
      </c>
      <c r="F115">
        <f>IF(5&lt;=$B$82,$B$80*$B$81*(1+$B$83)^INT((5-1)/$B$84)+(24-$B$80)*$B$87*F112,24*$B$87*F112)</f>
        <v/>
      </c>
      <c r="G115">
        <f>IF(6&lt;=$B$82,$B$80*$B$81*(1+$B$83)^INT((6-1)/$B$84)+(24-$B$80)*$B$87*G112,24*$B$87*G112)</f>
        <v/>
      </c>
    </row>
    <row r="116">
      <c r="A116" t="inlineStr">
        <is>
          <t>حسب العقود بلا نمو:void0</t>
        </is>
      </c>
      <c r="B116">
        <f>IF(1=$B$73+1,$B$71*$B$78*B112*$B$76/12,0)</f>
        <v/>
      </c>
      <c r="C116">
        <f>IF(2=$B$73+1,$B$71*$B$78*C112*$B$76/12,0)</f>
        <v/>
      </c>
      <c r="D116">
        <f>IF(3=$B$73+1,$B$71*$B$78*D112*$B$76/12,0)</f>
        <v/>
      </c>
      <c r="E116">
        <f>IF(4=$B$73+1,$B$71*$B$78*E112*$B$76/12,0)</f>
        <v/>
      </c>
      <c r="F116">
        <f>IF(5=$B$73+1,$B$71*$B$78*F112*$B$76/12,0)</f>
        <v/>
      </c>
      <c r="G116">
        <f>IF(6=$B$73+1,$B$71*$B$78*G112*$B$76/12,0)</f>
        <v/>
      </c>
    </row>
    <row r="117">
      <c r="A117" t="inlineStr">
        <is>
          <t>حسب العقود بلا نمو:void1</t>
        </is>
      </c>
      <c r="B117">
        <f>IF(1=$B$82+1,$B$80*$B$87*B112*$B$85/12,0)</f>
        <v/>
      </c>
      <c r="C117">
        <f>IF(2=$B$82+1,$B$80*$B$87*C112*$B$85/12,0)</f>
        <v/>
      </c>
      <c r="D117">
        <f>IF(3=$B$82+1,$B$80*$B$87*D112*$B$85/12,0)</f>
        <v/>
      </c>
      <c r="E117">
        <f>IF(4=$B$82+1,$B$80*$B$87*E112*$B$85/12,0)</f>
        <v/>
      </c>
      <c r="F117">
        <f>IF(5=$B$82+1,$B$80*$B$87*F112*$B$85/12,0)</f>
        <v/>
      </c>
      <c r="G117">
        <f>IF(6=$B$82+1,$B$80*$B$87*G112*$B$85/12,0)</f>
        <v/>
      </c>
    </row>
    <row r="118">
      <c r="A118" t="inlineStr">
        <is>
          <t>حسب العقود بلا نمو:let0</t>
        </is>
      </c>
      <c r="B118">
        <f>IF(1=$B$73+1,$B$71*$B$78*B112*$B$77/12,0)</f>
        <v/>
      </c>
      <c r="C118">
        <f>IF(2=$B$73+1,$B$71*$B$78*C112*$B$77/12,0)</f>
        <v/>
      </c>
      <c r="D118">
        <f>IF(3=$B$73+1,$B$71*$B$78*D112*$B$77/12,0)</f>
        <v/>
      </c>
      <c r="E118">
        <f>IF(4=$B$73+1,$B$71*$B$78*E112*$B$77/12,0)</f>
        <v/>
      </c>
      <c r="F118">
        <f>IF(5=$B$73+1,$B$71*$B$78*F112*$B$77/12,0)</f>
        <v/>
      </c>
      <c r="G118">
        <f>IF(6=$B$73+1,$B$71*$B$78*G112*$B$77/12,0)</f>
        <v/>
      </c>
    </row>
    <row r="119">
      <c r="A119" t="inlineStr">
        <is>
          <t>حسب العقود بلا نمو:let1</t>
        </is>
      </c>
      <c r="B119">
        <f>IF(1=$B$82+1,$B$80*$B$87*B112*$B$86/12,0)</f>
        <v/>
      </c>
      <c r="C119">
        <f>IF(2=$B$82+1,$B$80*$B$87*C112*$B$86/12,0)</f>
        <v/>
      </c>
      <c r="D119">
        <f>IF(3=$B$82+1,$B$80*$B$87*D112*$B$86/12,0)</f>
        <v/>
      </c>
      <c r="E119">
        <f>IF(4=$B$82+1,$B$80*$B$87*E112*$B$86/12,0)</f>
        <v/>
      </c>
      <c r="F119">
        <f>IF(5=$B$82+1,$B$80*$B$87*F112*$B$86/12,0)</f>
        <v/>
      </c>
      <c r="G119">
        <f>IF(6=$B$82+1,$B$80*$B$87*G112*$B$86/12,0)</f>
        <v/>
      </c>
    </row>
    <row r="120">
      <c r="A120" t="inlineStr">
        <is>
          <t>حسب العقود بلا نمو:pgi</t>
        </is>
      </c>
      <c r="B120">
        <f>B114+B115</f>
        <v/>
      </c>
      <c r="C120">
        <f>C114+C115</f>
        <v/>
      </c>
      <c r="D120">
        <f>D114+D115</f>
        <v/>
      </c>
      <c r="E120">
        <f>E114+E115</f>
        <v/>
      </c>
      <c r="F120">
        <f>F114+F115</f>
        <v/>
      </c>
      <c r="G120">
        <f>G114+G115</f>
        <v/>
      </c>
    </row>
    <row r="121">
      <c r="A121" t="inlineStr">
        <is>
          <t>حسب العقود بلا نمو:vacl</t>
        </is>
      </c>
      <c r="B121">
        <f>B120*$B$51</f>
        <v/>
      </c>
      <c r="C121">
        <f>C120*$B$51</f>
        <v/>
      </c>
      <c r="D121">
        <f>D120*$B$51</f>
        <v/>
      </c>
      <c r="E121">
        <f>E120*$B$51</f>
        <v/>
      </c>
      <c r="F121">
        <f>F120*$B$51</f>
        <v/>
      </c>
      <c r="G121">
        <f>G120*$B$51</f>
        <v/>
      </c>
    </row>
    <row r="122">
      <c r="A122" t="inlineStr">
        <is>
          <t>حسب العقود بلا نمو:colll</t>
        </is>
      </c>
      <c r="B122">
        <f>(B120-B121)*$B$52</f>
        <v/>
      </c>
      <c r="C122">
        <f>(C120-C121)*$B$52</f>
        <v/>
      </c>
      <c r="D122">
        <f>(D120-D121)*$B$52</f>
        <v/>
      </c>
      <c r="E122">
        <f>(E120-E121)*$B$52</f>
        <v/>
      </c>
      <c r="F122">
        <f>(F120-F121)*$B$52</f>
        <v/>
      </c>
      <c r="G122">
        <f>(G120-G121)*$B$52</f>
        <v/>
      </c>
    </row>
    <row r="123">
      <c r="A123" t="inlineStr">
        <is>
          <t>حسب العقود بلا نمو:voidl</t>
        </is>
      </c>
      <c r="B123">
        <f>B116+B117</f>
        <v/>
      </c>
      <c r="C123">
        <f>C116+C117</f>
        <v/>
      </c>
      <c r="D123">
        <f>D116+D117</f>
        <v/>
      </c>
      <c r="E123">
        <f>E116+E117</f>
        <v/>
      </c>
      <c r="F123">
        <f>F116+F117</f>
        <v/>
      </c>
      <c r="G123">
        <f>G116+G117</f>
        <v/>
      </c>
    </row>
    <row r="124">
      <c r="A124" t="inlineStr">
        <is>
          <t>حسب العقود بلا نمو:oth</t>
        </is>
      </c>
      <c r="B124">
        <f>$B$53*B112</f>
        <v/>
      </c>
      <c r="C124">
        <f>$B$53*C112</f>
        <v/>
      </c>
      <c r="D124">
        <f>$B$53*D112</f>
        <v/>
      </c>
      <c r="E124">
        <f>$B$53*E112</f>
        <v/>
      </c>
      <c r="F124">
        <f>$B$53*F112</f>
        <v/>
      </c>
      <c r="G124">
        <f>$B$53*G112</f>
        <v/>
      </c>
    </row>
    <row r="125">
      <c r="A125" t="inlineStr">
        <is>
          <t>حسب العقود بلا نمو:egi</t>
        </is>
      </c>
      <c r="B125">
        <f>B120-B121-B122-B123+B124</f>
        <v/>
      </c>
      <c r="C125">
        <f>C120-C121-C122-C123+C124</f>
        <v/>
      </c>
      <c r="D125">
        <f>D120-D121-D122-D123+D124</f>
        <v/>
      </c>
      <c r="E125">
        <f>E120-E121-E122-E123+E124</f>
        <v/>
      </c>
      <c r="F125">
        <f>F120-F121-F122-F123+F124</f>
        <v/>
      </c>
      <c r="G125">
        <f>G120-G121-G122-G123+G124</f>
        <v/>
      </c>
    </row>
    <row r="126">
      <c r="A126" t="inlineStr">
        <is>
          <t>حسب العقود بلا نمو:opex</t>
        </is>
      </c>
      <c r="B126">
        <f>($B$54+$B$57)*B125+($B$55*$B$50+$B$56)*B113</f>
        <v/>
      </c>
      <c r="C126">
        <f>($B$54+$B$57)*C125+($B$55*$B$50+$B$56)*C113</f>
        <v/>
      </c>
      <c r="D126">
        <f>($B$54+$B$57)*D125+($B$55*$B$50+$B$56)*D113</f>
        <v/>
      </c>
      <c r="E126">
        <f>($B$54+$B$57)*E125+($B$55*$B$50+$B$56)*E113</f>
        <v/>
      </c>
      <c r="F126">
        <f>($B$54+$B$57)*F125+($B$55*$B$50+$B$56)*F113</f>
        <v/>
      </c>
      <c r="G126">
        <f>($B$54+$B$57)*G125+($B$55*$B$50+$B$56)*G113</f>
        <v/>
      </c>
    </row>
    <row r="127">
      <c r="A127" t="inlineStr">
        <is>
          <t>حسب العقود بلا نمو:noi</t>
        </is>
      </c>
      <c r="B127">
        <f>B125-B126</f>
        <v/>
      </c>
      <c r="C127">
        <f>C125-C126</f>
        <v/>
      </c>
      <c r="D127">
        <f>D125-D126</f>
        <v/>
      </c>
      <c r="E127">
        <f>E125-E126</f>
        <v/>
      </c>
      <c r="F127">
        <f>F125-F126</f>
        <v/>
      </c>
      <c r="G127">
        <f>G125-G126</f>
        <v/>
      </c>
    </row>
    <row r="128">
      <c r="A128" t="inlineStr">
        <is>
          <t>حسب العقود بلا نمو:capex</t>
        </is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</row>
    <row r="129">
      <c r="A129" t="inlineStr">
        <is>
          <t>حسب العقود بلا نمو:letc</t>
        </is>
      </c>
      <c r="B129">
        <f>B118+B119</f>
        <v/>
      </c>
      <c r="C129">
        <f>C118+C119</f>
        <v/>
      </c>
      <c r="D129">
        <f>D118+D119</f>
        <v/>
      </c>
      <c r="E129">
        <f>E118+E119</f>
        <v/>
      </c>
      <c r="F129">
        <f>F118+F119</f>
        <v/>
      </c>
      <c r="G129">
        <f>G118+G119</f>
        <v/>
      </c>
    </row>
    <row r="130">
      <c r="A130" t="inlineStr">
        <is>
          <t>حسب العقود بلا نمو:cf</t>
        </is>
      </c>
      <c r="B130">
        <f>B127-B128-B129</f>
        <v/>
      </c>
      <c r="C130">
        <f>C127-C128-C129</f>
        <v/>
      </c>
      <c r="D130">
        <f>D127-D128-D129</f>
        <v/>
      </c>
      <c r="E130">
        <f>E127-E128-E129</f>
        <v/>
      </c>
      <c r="F130">
        <f>F127-F128-F129</f>
        <v/>
      </c>
      <c r="G130">
        <f>G127-G128-G129</f>
        <v/>
      </c>
    </row>
    <row r="132">
      <c r="A132" s="1" t="inlineStr">
        <is>
          <t>سنوات: سوقي بلا نمو</t>
        </is>
      </c>
    </row>
    <row r="133">
      <c r="A133" t="inlineStr">
        <is>
          <t>سوقي بلا نمو:t</t>
        </is>
      </c>
      <c r="B133" t="n">
        <v>1</v>
      </c>
      <c r="C133" t="n">
        <v>2</v>
      </c>
      <c r="D133" t="n">
        <v>3</v>
      </c>
      <c r="E133" t="n">
        <v>4</v>
      </c>
      <c r="F133" t="n">
        <v>5</v>
      </c>
      <c r="G133" t="n">
        <v>6</v>
      </c>
    </row>
    <row r="134">
      <c r="A134" t="inlineStr">
        <is>
          <t>سوقي بلا نمو:rev</t>
        </is>
      </c>
      <c r="B134" t="n">
        <v>1</v>
      </c>
      <c r="C134" t="n">
        <v>1</v>
      </c>
      <c r="D134" t="n">
        <v>1</v>
      </c>
      <c r="E134" t="n">
        <v>1</v>
      </c>
      <c r="F134" t="n">
        <v>1</v>
      </c>
      <c r="G134" t="n">
        <v>1</v>
      </c>
    </row>
    <row r="135">
      <c r="A135" t="inlineStr">
        <is>
          <t>سوقي بلا نمو:exp</t>
        </is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</row>
    <row r="136">
      <c r="A136" t="inlineStr">
        <is>
          <t>سوقي بلا نمو:pgi0</t>
        </is>
      </c>
      <c r="B136">
        <f>6*$B$78*B134</f>
        <v/>
      </c>
      <c r="C136">
        <f>6*$B$78*C134</f>
        <v/>
      </c>
      <c r="D136">
        <f>6*$B$78*D134</f>
        <v/>
      </c>
      <c r="E136">
        <f>6*$B$78*E134</f>
        <v/>
      </c>
      <c r="F136">
        <f>6*$B$78*F134</f>
        <v/>
      </c>
      <c r="G136">
        <f>6*$B$78*G134</f>
        <v/>
      </c>
    </row>
    <row r="137">
      <c r="A137" t="inlineStr">
        <is>
          <t>سوقي بلا نمو:pgi1</t>
        </is>
      </c>
      <c r="B137">
        <f>24*$B$87*B134</f>
        <v/>
      </c>
      <c r="C137">
        <f>24*$B$87*C134</f>
        <v/>
      </c>
      <c r="D137">
        <f>24*$B$87*D134</f>
        <v/>
      </c>
      <c r="E137">
        <f>24*$B$87*E134</f>
        <v/>
      </c>
      <c r="F137">
        <f>24*$B$87*F134</f>
        <v/>
      </c>
      <c r="G137">
        <f>24*$B$87*G134</f>
        <v/>
      </c>
    </row>
    <row r="138">
      <c r="A138" t="inlineStr">
        <is>
          <t>سوقي بلا نمو:void0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</row>
    <row r="139">
      <c r="A139" t="inlineStr">
        <is>
          <t>سوقي بلا نمو:void1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</row>
    <row r="140">
      <c r="A140" t="inlineStr">
        <is>
          <t>سوقي بلا نمو:let0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</row>
    <row r="141">
      <c r="A141" t="inlineStr">
        <is>
          <t>سوقي بلا نمو:let1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</row>
    <row r="142">
      <c r="A142" t="inlineStr">
        <is>
          <t>سوقي بلا نمو:pgi</t>
        </is>
      </c>
      <c r="B142">
        <f>B136+B137</f>
        <v/>
      </c>
      <c r="C142">
        <f>C136+C137</f>
        <v/>
      </c>
      <c r="D142">
        <f>D136+D137</f>
        <v/>
      </c>
      <c r="E142">
        <f>E136+E137</f>
        <v/>
      </c>
      <c r="F142">
        <f>F136+F137</f>
        <v/>
      </c>
      <c r="G142">
        <f>G136+G137</f>
        <v/>
      </c>
    </row>
    <row r="143">
      <c r="A143" t="inlineStr">
        <is>
          <t>سوقي بلا نمو:vacl</t>
        </is>
      </c>
      <c r="B143">
        <f>B142*$B$51</f>
        <v/>
      </c>
      <c r="C143">
        <f>C142*$B$51</f>
        <v/>
      </c>
      <c r="D143">
        <f>D142*$B$51</f>
        <v/>
      </c>
      <c r="E143">
        <f>E142*$B$51</f>
        <v/>
      </c>
      <c r="F143">
        <f>F142*$B$51</f>
        <v/>
      </c>
      <c r="G143">
        <f>G142*$B$51</f>
        <v/>
      </c>
    </row>
    <row r="144">
      <c r="A144" t="inlineStr">
        <is>
          <t>سوقي بلا نمو:colll</t>
        </is>
      </c>
      <c r="B144">
        <f>(B142-B143)*$B$52</f>
        <v/>
      </c>
      <c r="C144">
        <f>(C142-C143)*$B$52</f>
        <v/>
      </c>
      <c r="D144">
        <f>(D142-D143)*$B$52</f>
        <v/>
      </c>
      <c r="E144">
        <f>(E142-E143)*$B$52</f>
        <v/>
      </c>
      <c r="F144">
        <f>(F142-F143)*$B$52</f>
        <v/>
      </c>
      <c r="G144">
        <f>(G142-G143)*$B$52</f>
        <v/>
      </c>
    </row>
    <row r="145">
      <c r="A145" t="inlineStr">
        <is>
          <t>سوقي بلا نمو:voidl</t>
        </is>
      </c>
      <c r="B145">
        <f>B138+B139</f>
        <v/>
      </c>
      <c r="C145">
        <f>C138+C139</f>
        <v/>
      </c>
      <c r="D145">
        <f>D138+D139</f>
        <v/>
      </c>
      <c r="E145">
        <f>E138+E139</f>
        <v/>
      </c>
      <c r="F145">
        <f>F138+F139</f>
        <v/>
      </c>
      <c r="G145">
        <f>G138+G139</f>
        <v/>
      </c>
    </row>
    <row r="146">
      <c r="A146" t="inlineStr">
        <is>
          <t>سوقي بلا نمو:oth</t>
        </is>
      </c>
      <c r="B146">
        <f>$B$53*B134</f>
        <v/>
      </c>
      <c r="C146">
        <f>$B$53*C134</f>
        <v/>
      </c>
      <c r="D146">
        <f>$B$53*D134</f>
        <v/>
      </c>
      <c r="E146">
        <f>$B$53*E134</f>
        <v/>
      </c>
      <c r="F146">
        <f>$B$53*F134</f>
        <v/>
      </c>
      <c r="G146">
        <f>$B$53*G134</f>
        <v/>
      </c>
    </row>
    <row r="147">
      <c r="A147" t="inlineStr">
        <is>
          <t>سوقي بلا نمو:egi</t>
        </is>
      </c>
      <c r="B147">
        <f>B142-B143-B144-B145+B146</f>
        <v/>
      </c>
      <c r="C147">
        <f>C142-C143-C144-C145+C146</f>
        <v/>
      </c>
      <c r="D147">
        <f>D142-D143-D144-D145+D146</f>
        <v/>
      </c>
      <c r="E147">
        <f>E142-E143-E144-E145+E146</f>
        <v/>
      </c>
      <c r="F147">
        <f>F142-F143-F144-F145+F146</f>
        <v/>
      </c>
      <c r="G147">
        <f>G142-G143-G144-G145+G146</f>
        <v/>
      </c>
    </row>
    <row r="148">
      <c r="A148" t="inlineStr">
        <is>
          <t>سوقي بلا نمو:opex</t>
        </is>
      </c>
      <c r="B148">
        <f>($B$54+$B$57)*B147+($B$55*$B$50+$B$56)*B135</f>
        <v/>
      </c>
      <c r="C148">
        <f>($B$54+$B$57)*C147+($B$55*$B$50+$B$56)*C135</f>
        <v/>
      </c>
      <c r="D148">
        <f>($B$54+$B$57)*D147+($B$55*$B$50+$B$56)*D135</f>
        <v/>
      </c>
      <c r="E148">
        <f>($B$54+$B$57)*E147+($B$55*$B$50+$B$56)*E135</f>
        <v/>
      </c>
      <c r="F148">
        <f>($B$54+$B$57)*F147+($B$55*$B$50+$B$56)*F135</f>
        <v/>
      </c>
      <c r="G148">
        <f>($B$54+$B$57)*G147+($B$55*$B$50+$B$56)*G135</f>
        <v/>
      </c>
    </row>
    <row r="149">
      <c r="A149" t="inlineStr">
        <is>
          <t>سوقي بلا نمو:noi</t>
        </is>
      </c>
      <c r="B149">
        <f>B147-B148</f>
        <v/>
      </c>
      <c r="C149">
        <f>C147-C148</f>
        <v/>
      </c>
      <c r="D149">
        <f>D147-D148</f>
        <v/>
      </c>
      <c r="E149">
        <f>E147-E148</f>
        <v/>
      </c>
      <c r="F149">
        <f>F147-F148</f>
        <v/>
      </c>
      <c r="G149">
        <f>G147-G148</f>
        <v/>
      </c>
    </row>
    <row r="150">
      <c r="A150" t="inlineStr">
        <is>
          <t>سوقي بلا نمو:capex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</row>
    <row r="151">
      <c r="A151" t="inlineStr">
        <is>
          <t>سوقي بلا نمو:letc</t>
        </is>
      </c>
      <c r="B151">
        <f>B140+B141</f>
        <v/>
      </c>
      <c r="C151">
        <f>C140+C141</f>
        <v/>
      </c>
      <c r="D151">
        <f>D140+D141</f>
        <v/>
      </c>
      <c r="E151">
        <f>E140+E141</f>
        <v/>
      </c>
      <c r="F151">
        <f>F140+F141</f>
        <v/>
      </c>
      <c r="G151">
        <f>G140+G141</f>
        <v/>
      </c>
    </row>
    <row r="152">
      <c r="A152" t="inlineStr">
        <is>
          <t>سوقي بلا نمو:cf</t>
        </is>
      </c>
      <c r="B152">
        <f>B149-B150-B151</f>
        <v/>
      </c>
      <c r="C152">
        <f>C149-C150-C151</f>
        <v/>
      </c>
      <c r="D152">
        <f>D149-D150-D151</f>
        <v/>
      </c>
      <c r="E152">
        <f>E149-E150-E151</f>
        <v/>
      </c>
      <c r="F152">
        <f>F149-F150-F151</f>
        <v/>
      </c>
      <c r="G152">
        <f>G149-G150-G151</f>
        <v/>
      </c>
    </row>
    <row r="154">
      <c r="A154" s="1" t="inlineStr">
        <is>
          <t>النتائج</t>
        </is>
      </c>
    </row>
    <row r="155">
      <c r="A155" t="inlineStr">
        <is>
          <t>rent_rate_retail</t>
        </is>
      </c>
      <c r="B155">
        <f>$B$12</f>
        <v/>
      </c>
    </row>
    <row r="156">
      <c r="A156" t="inlineStr">
        <is>
          <t>rent_rate_office</t>
        </is>
      </c>
      <c r="B156">
        <f>$B$23</f>
        <v/>
      </c>
    </row>
    <row r="157">
      <c r="A157" t="inlineStr">
        <is>
          <t>pgi</t>
        </is>
      </c>
      <c r="B157">
        <f>$B$98</f>
        <v/>
      </c>
    </row>
    <row r="158">
      <c r="A158" t="inlineStr">
        <is>
          <t>vacancy</t>
        </is>
      </c>
      <c r="B158">
        <f>$B$99</f>
        <v/>
      </c>
    </row>
    <row r="159">
      <c r="A159" t="inlineStr">
        <is>
          <t>collection</t>
        </is>
      </c>
      <c r="B159">
        <f>$B$100</f>
        <v/>
      </c>
    </row>
    <row r="160">
      <c r="A160" t="inlineStr">
        <is>
          <t>egi</t>
        </is>
      </c>
      <c r="B160">
        <f>$B$103</f>
        <v/>
      </c>
    </row>
    <row r="161">
      <c r="A161" t="inlineStr">
        <is>
          <t>opex</t>
        </is>
      </c>
      <c r="B161">
        <f>$B$104</f>
        <v/>
      </c>
    </row>
    <row r="162">
      <c r="A162" t="inlineStr">
        <is>
          <t>noi</t>
        </is>
      </c>
      <c r="B162">
        <f>$B$105</f>
        <v/>
      </c>
    </row>
    <row r="163">
      <c r="A163" t="inlineStr">
        <is>
          <t>cap_rate</t>
        </is>
      </c>
      <c r="B163">
        <f>$B$36</f>
        <v/>
      </c>
    </row>
    <row r="164">
      <c r="A164" t="inlineStr">
        <is>
          <t>market_noi</t>
        </is>
      </c>
      <c r="B164">
        <f>$B$149</f>
        <v/>
      </c>
    </row>
    <row r="165">
      <c r="A165" t="inlineStr">
        <is>
          <t>lease_diff_y1</t>
        </is>
      </c>
      <c r="B165">
        <f>$B$127-$B$129-$B$149</f>
        <v/>
      </c>
    </row>
    <row r="166">
      <c r="A166" t="inlineStr">
        <is>
          <t>lease_diff_y2</t>
        </is>
      </c>
      <c r="B166">
        <f>$C$127-$C$129-$C$149</f>
        <v/>
      </c>
    </row>
    <row r="167">
      <c r="A167" t="inlineStr">
        <is>
          <t>lease_diff_y3</t>
        </is>
      </c>
      <c r="B167">
        <f>$D$127-$D$129-$D$149</f>
        <v/>
      </c>
    </row>
    <row r="168">
      <c r="A168" t="inlineStr">
        <is>
          <t>lease_diff_y4</t>
        </is>
      </c>
      <c r="B168">
        <f>$E$127-$E$129-$E$149</f>
        <v/>
      </c>
    </row>
    <row r="169">
      <c r="A169" t="inlineStr">
        <is>
          <t>lease_diff_y5</t>
        </is>
      </c>
      <c r="B169">
        <f>$F$127-$F$129-$F$149</f>
        <v/>
      </c>
    </row>
    <row r="170">
      <c r="A170" t="inlineStr">
        <is>
          <t>lease_diff_y6</t>
        </is>
      </c>
      <c r="B170">
        <f>$G$127-$G$129-$G$149</f>
        <v/>
      </c>
    </row>
    <row r="171">
      <c r="A171" t="inlineStr">
        <is>
          <t>lease_adj</t>
        </is>
      </c>
      <c r="B171">
        <f>$B$165/(1+$B$68)^1+$B$166/(1+$B$68)^2+$B$167/(1+$B$68)^3+$B$168/(1+$B$68)^4+$B$169/(1+$B$68)^5+$B$170/$B$68/(1+$B$68)^5</f>
        <v/>
      </c>
    </row>
    <row r="172">
      <c r="A172" t="inlineStr">
        <is>
          <t>direct_value</t>
        </is>
      </c>
      <c r="B172">
        <f>$B$164/$B$68+$B$171+$B$64</f>
        <v/>
      </c>
    </row>
    <row r="173">
      <c r="A173" t="inlineStr">
        <is>
          <t>dcf_noi_y1</t>
        </is>
      </c>
      <c r="B173">
        <f>$B$105</f>
        <v/>
      </c>
    </row>
    <row r="174">
      <c r="A174" t="inlineStr">
        <is>
          <t>dcf_cf_y1</t>
        </is>
      </c>
      <c r="B174">
        <f>$B$108</f>
        <v/>
      </c>
    </row>
    <row r="175">
      <c r="A175" t="inlineStr">
        <is>
          <t>dcf_noi_y2</t>
        </is>
      </c>
      <c r="B175">
        <f>$C$105</f>
        <v/>
      </c>
    </row>
    <row r="176">
      <c r="A176" t="inlineStr">
        <is>
          <t>dcf_cf_y2</t>
        </is>
      </c>
      <c r="B176">
        <f>$C$108</f>
        <v/>
      </c>
    </row>
    <row r="177">
      <c r="A177" t="inlineStr">
        <is>
          <t>dcf_noi_y3</t>
        </is>
      </c>
      <c r="B177">
        <f>$D$105</f>
        <v/>
      </c>
    </row>
    <row r="178">
      <c r="A178" t="inlineStr">
        <is>
          <t>dcf_cf_y3</t>
        </is>
      </c>
      <c r="B178">
        <f>$D$108</f>
        <v/>
      </c>
    </row>
    <row r="179">
      <c r="A179" t="inlineStr">
        <is>
          <t>dcf_noi_y4</t>
        </is>
      </c>
      <c r="B179">
        <f>$E$105</f>
        <v/>
      </c>
    </row>
    <row r="180">
      <c r="A180" t="inlineStr">
        <is>
          <t>dcf_cf_y4</t>
        </is>
      </c>
      <c r="B180">
        <f>$E$108</f>
        <v/>
      </c>
    </row>
    <row r="181">
      <c r="A181" t="inlineStr">
        <is>
          <t>dcf_noi_y5</t>
        </is>
      </c>
      <c r="B181">
        <f>$F$105</f>
        <v/>
      </c>
    </row>
    <row r="182">
      <c r="A182" t="inlineStr">
        <is>
          <t>dcf_cf_y5</t>
        </is>
      </c>
      <c r="B182">
        <f>$F$108</f>
        <v/>
      </c>
    </row>
    <row r="183">
      <c r="A183" t="inlineStr">
        <is>
          <t>dcf_noi_y6</t>
        </is>
      </c>
      <c r="B183">
        <f>$G$105</f>
        <v/>
      </c>
    </row>
    <row r="184">
      <c r="A184" t="inlineStr">
        <is>
          <t>dcf_cf_y6</t>
        </is>
      </c>
      <c r="B184">
        <f>$G$108</f>
        <v/>
      </c>
    </row>
    <row r="185">
      <c r="A185" t="inlineStr">
        <is>
          <t>dcf_noi_y7</t>
        </is>
      </c>
      <c r="B185">
        <f>$H$105</f>
        <v/>
      </c>
    </row>
    <row r="186">
      <c r="A186" t="inlineStr">
        <is>
          <t>dcf_cf_y7</t>
        </is>
      </c>
      <c r="B186">
        <f>$H$108</f>
        <v/>
      </c>
    </row>
    <row r="187">
      <c r="A187" t="inlineStr">
        <is>
          <t>dcf_noi_y8</t>
        </is>
      </c>
      <c r="B187">
        <f>$I$105</f>
        <v/>
      </c>
    </row>
    <row r="188">
      <c r="A188" t="inlineStr">
        <is>
          <t>dcf_cf_y8</t>
        </is>
      </c>
      <c r="B188">
        <f>$I$108</f>
        <v/>
      </c>
    </row>
    <row r="189">
      <c r="A189" t="inlineStr">
        <is>
          <t>dcf_noi_y9</t>
        </is>
      </c>
      <c r="B189">
        <f>$J$105</f>
        <v/>
      </c>
    </row>
    <row r="190">
      <c r="A190" t="inlineStr">
        <is>
          <t>dcf_cf_y9</t>
        </is>
      </c>
      <c r="B190">
        <f>$J$108</f>
        <v/>
      </c>
    </row>
    <row r="191">
      <c r="A191" t="inlineStr">
        <is>
          <t>dcf_noi_y10</t>
        </is>
      </c>
      <c r="B191">
        <f>$K$105</f>
        <v/>
      </c>
    </row>
    <row r="192">
      <c r="A192" t="inlineStr">
        <is>
          <t>dcf_cf_y10</t>
        </is>
      </c>
      <c r="B192">
        <f>$K$108</f>
        <v/>
      </c>
    </row>
    <row r="193">
      <c r="A193" t="inlineStr">
        <is>
          <t>dcf_pv_cf</t>
        </is>
      </c>
      <c r="B193">
        <f>$B$174/(1+$B$61)^1+$B$176/(1+$B$61)^2+$B$178/(1+$B$61)^3+$B$180/(1+$B$61)^4+$B$182/(1+$B$61)^5+$B$184/(1+$B$61)^6+$B$186/(1+$B$61)^7+$B$188/(1+$B$61)^8+$B$190/(1+$B$61)^9+$B$192/(1+$B$61)^10</f>
        <v/>
      </c>
    </row>
    <row r="194">
      <c r="A194" t="inlineStr">
        <is>
          <t>dcf_exit_noi</t>
        </is>
      </c>
      <c r="B194">
        <f>$L$105</f>
        <v/>
      </c>
    </row>
    <row r="195">
      <c r="A195" t="inlineStr">
        <is>
          <t>dcf_pv_reversion</t>
        </is>
      </c>
      <c r="B195">
        <f>$B$194/($B$68+$B$62)*(1-$B$63)/(1+$B$61)^10</f>
        <v/>
      </c>
    </row>
    <row r="196">
      <c r="A196" t="inlineStr">
        <is>
          <t>dcf_value</t>
        </is>
      </c>
      <c r="B196">
        <f>$B$193+$B$195</f>
        <v/>
      </c>
    </row>
    <row r="197">
      <c r="A197" t="inlineStr">
        <is>
          <t>sales_rate</t>
        </is>
      </c>
      <c r="B197">
        <f>$B$48</f>
        <v/>
      </c>
    </row>
    <row r="198">
      <c r="A198" t="inlineStr">
        <is>
          <t>sales_value</t>
        </is>
      </c>
      <c r="B198">
        <f>$B$48*$B$50</f>
        <v/>
      </c>
    </row>
    <row r="199">
      <c r="A199" t="inlineStr">
        <is>
          <t>final_weighted</t>
        </is>
      </c>
      <c r="B199">
        <f>$B$65*$B$172+$B$66*$B$196+$B$67*$B$198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2026-09-25T16:08:51Z</dcterms:created>
  <dcterms:modified xsi:type="dcterms:W3CDTF">2026-09-25T16:08:51Z</dcterms:modified>
</cp:coreProperties>
</file>